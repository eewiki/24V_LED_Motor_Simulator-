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key-my.sharepoint.com/personal/brian_german_digikey_com/Documents/Documents/KiCad Projects/Motor Simulator 24V for Aaron Using 1818-QT02ASB83H0000G-ND/"/>
    </mc:Choice>
  </mc:AlternateContent>
  <xr:revisionPtr revIDLastSave="56" documentId="8_{1FEA4C25-E304-4FBA-8B0F-EEC44885A8E8}" xr6:coauthVersionLast="47" xr6:coauthVersionMax="47" xr10:uidLastSave="{327C1835-59AA-47D4-AA73-AA09A53DDABC}"/>
  <bookViews>
    <workbookView xWindow="28680" yWindow="-210" windowWidth="29040" windowHeight="15720" xr2:uid="{35575073-5519-43FD-8D06-6D4EE2C89EC5}"/>
  </bookViews>
  <sheets>
    <sheet name="Motor Simulator 24V for Aaron 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<sst xmlns="http://schemas.openxmlformats.org/spreadsheetml/2006/main" count="62" uniqueCount="60">
  <si>
    <t>Reference</t>
  </si>
  <si>
    <t>Qty</t>
  </si>
  <si>
    <t>Value</t>
  </si>
  <si>
    <t>D11</t>
  </si>
  <si>
    <t>D_TVS</t>
  </si>
  <si>
    <t>13-P4KE30CA/BCT-ND</t>
  </si>
  <si>
    <t>D12</t>
  </si>
  <si>
    <t>1N4148</t>
  </si>
  <si>
    <t>1N4148FS-ND</t>
  </si>
  <si>
    <t>J1,J2</t>
  </si>
  <si>
    <t>Screw_Terminal_01x02</t>
  </si>
  <si>
    <t>J4</t>
  </si>
  <si>
    <t>DIP Socket</t>
  </si>
  <si>
    <t>2057-ICS-308-T-ND</t>
  </si>
  <si>
    <t>J5,J6</t>
  </si>
  <si>
    <t>01x04_Socket</t>
  </si>
  <si>
    <t>2057-RS1-04-G-ND</t>
  </si>
  <si>
    <t>K1</t>
  </si>
  <si>
    <t>5A</t>
  </si>
  <si>
    <t>2449-J1131AS24VDC.20-ND</t>
  </si>
  <si>
    <t>SW1</t>
  </si>
  <si>
    <t>SW_Push</t>
  </si>
  <si>
    <t>2449-NCA1-ND</t>
  </si>
  <si>
    <t>U1</t>
  </si>
  <si>
    <t>31-DPC817D-C-TU-ND</t>
  </si>
  <si>
    <t>C3</t>
  </si>
  <si>
    <t>2.2uF</t>
  </si>
  <si>
    <t>445-173138-1-ND</t>
  </si>
  <si>
    <t>C1</t>
  </si>
  <si>
    <t>1uF</t>
  </si>
  <si>
    <t>445-173257-1-ND</t>
  </si>
  <si>
    <t>D10</t>
  </si>
  <si>
    <t>B80R</t>
  </si>
  <si>
    <t>4878-B80R-ND</t>
  </si>
  <si>
    <t>U3</t>
  </si>
  <si>
    <t>AP7381-50V-A</t>
  </si>
  <si>
    <t>AP7381-50V-ADICT-ND</t>
  </si>
  <si>
    <t>U2</t>
  </si>
  <si>
    <t>ATtiny85-20P</t>
  </si>
  <si>
    <t>ATTINY85-20PU-ND</t>
  </si>
  <si>
    <t>R1</t>
  </si>
  <si>
    <t>4.7k</t>
  </si>
  <si>
    <t>CFM14JA4K70CT-ND</t>
  </si>
  <si>
    <t>R2,R3</t>
  </si>
  <si>
    <t>1k</t>
  </si>
  <si>
    <t>S1KQCT-ND</t>
  </si>
  <si>
    <t>1830-1018-ND</t>
  </si>
  <si>
    <t>1818-QT02ASB83H0000G-ND</t>
  </si>
  <si>
    <t>LTL87HTBK-ND</t>
  </si>
  <si>
    <t>738-CFM14JA240RCT-ND</t>
  </si>
  <si>
    <t>738-CFM14JA68R0CT-ND</t>
  </si>
  <si>
    <t>Part Number</t>
  </si>
  <si>
    <t>Optocoupler</t>
  </si>
  <si>
    <t>Blue, 3mm</t>
  </si>
  <si>
    <t>Yellow, 5mm, Diffused</t>
  </si>
  <si>
    <t>D0 - D9</t>
  </si>
  <si>
    <t xml:space="preserve">68 Ohm, 1/4W, Axial </t>
  </si>
  <si>
    <t>240 Ohm, 1/4W, Axial</t>
  </si>
  <si>
    <t>R4 - R7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</si>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</sst>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A278-0EAA-4714-A0C5-53BE3B182BC6}">
  <dimension ref="A1:E22"/>
  <sheetViews>
    <sheetView tabSelected="1" workbookViewId="0">
      <selection activeCell="D22" sqref="A1:D22"/>
    </sheetView>
  </sheetViews>
  <sheetFormatPr defaultRowHeight="15" x14ac:dyDescent="0.25"/>
  <cols>
    <col min="1" max="1" width="10.42578125" bestFit="1" customWidth="1"/>
    <col min="2" max="2" width="20.85546875" style="1" bestFit="1" customWidth="1"/>
    <col min="3" max="3" width="3.85546875" style="2" bestFit="1" customWidth="1"/>
    <col min="4" max="4" width="26" bestFit="1" customWidth="1"/>
    <col min="5" max="5" width="9.140625" style="2"/>
  </cols>
  <sheetData>
    <row r="1" spans="1:5" x14ac:dyDescent="0.25">
      <c r="A1" s="6" t="s">
        <v>0</v>
      </c>
      <c r="B1" s="7" t="s">
        <v>2</v>
      </c>
      <c r="C1" s="8" t="s">
        <v>1</v>
      </c>
      <c r="D1" s="6" t="s">
        <v>51</v>
      </c>
      <c r="E1" s="8" t="s">
        <v>59</v>
      </c>
    </row>
    <row r="2" spans="1:5" x14ac:dyDescent="0.25">
      <c r="A2" s="3" t="s">
        <v>3</v>
      </c>
      <c r="B2" s="4" t="s">
        <v>4</v>
      </c>
      <c r="C2" s="5">
        <v>1</v>
      </c>
      <c r="D2" s="3" t="s">
        <v>5</v>
      </c>
      <c r="E2" s="5">
        <f>C2*4</f>
        <v>4</v>
      </c>
    </row>
    <row r="3" spans="1:5" x14ac:dyDescent="0.25">
      <c r="A3" s="3" t="s">
        <v>6</v>
      </c>
      <c r="B3" s="4" t="s">
        <v>7</v>
      </c>
      <c r="C3" s="5">
        <v>1</v>
      </c>
      <c r="D3" s="3" t="s">
        <v>8</v>
      </c>
      <c r="E3" s="5">
        <f t="shared" ref="E3:E22" si="0">C3*4</f>
        <v>4</v>
      </c>
    </row>
    <row r="4" spans="1:5" x14ac:dyDescent="0.25">
      <c r="A4" s="3" t="s">
        <v>55</v>
      </c>
      <c r="B4" s="4" t="s">
        <v>54</v>
      </c>
      <c r="C4" s="5">
        <v>10</v>
      </c>
      <c r="D4" s="3" t="s">
        <v>46</v>
      </c>
      <c r="E4" s="5">
        <f t="shared" si="0"/>
        <v>40</v>
      </c>
    </row>
    <row r="5" spans="1:5" x14ac:dyDescent="0.25">
      <c r="A5" s="3" t="s">
        <v>9</v>
      </c>
      <c r="B5" s="4" t="s">
        <v>10</v>
      </c>
      <c r="C5" s="5">
        <v>2</v>
      </c>
      <c r="D5" s="3" t="s">
        <v>47</v>
      </c>
      <c r="E5" s="5">
        <f t="shared" si="0"/>
        <v>8</v>
      </c>
    </row>
    <row r="6" spans="1:5" x14ac:dyDescent="0.25">
      <c r="A6" s="3" t="s">
        <v>11</v>
      </c>
      <c r="B6" s="4" t="s">
        <v>12</v>
      </c>
      <c r="C6" s="5">
        <v>1</v>
      </c>
      <c r="D6" s="3" t="s">
        <v>13</v>
      </c>
      <c r="E6" s="5">
        <f t="shared" si="0"/>
        <v>4</v>
      </c>
    </row>
    <row r="7" spans="1:5" x14ac:dyDescent="0.25">
      <c r="A7" s="3" t="s">
        <v>14</v>
      </c>
      <c r="B7" s="4" t="s">
        <v>15</v>
      </c>
      <c r="C7" s="5">
        <v>2</v>
      </c>
      <c r="D7" s="3" t="s">
        <v>16</v>
      </c>
      <c r="E7" s="5">
        <f t="shared" si="0"/>
        <v>8</v>
      </c>
    </row>
    <row r="8" spans="1:5" x14ac:dyDescent="0.25">
      <c r="A8" s="3" t="s">
        <v>17</v>
      </c>
      <c r="B8" s="4" t="s">
        <v>18</v>
      </c>
      <c r="C8" s="5">
        <v>1</v>
      </c>
      <c r="D8" s="3" t="s">
        <v>19</v>
      </c>
      <c r="E8" s="5">
        <f t="shared" si="0"/>
        <v>4</v>
      </c>
    </row>
    <row r="9" spans="1:5" x14ac:dyDescent="0.25">
      <c r="A9" s="3" t="s">
        <v>20</v>
      </c>
      <c r="B9" s="4" t="s">
        <v>21</v>
      </c>
      <c r="C9" s="5">
        <v>1</v>
      </c>
      <c r="D9" s="3" t="s">
        <v>22</v>
      </c>
      <c r="E9" s="5">
        <f t="shared" si="0"/>
        <v>4</v>
      </c>
    </row>
    <row r="10" spans="1:5" x14ac:dyDescent="0.25">
      <c r="A10" s="3" t="s">
        <v>23</v>
      </c>
      <c r="B10" s="4" t="s">
        <v>52</v>
      </c>
      <c r="C10" s="5">
        <v>1</v>
      </c>
      <c r="D10" s="3" t="s">
        <v>24</v>
      </c>
      <c r="E10" s="5">
        <f t="shared" si="0"/>
        <v>4</v>
      </c>
    </row>
    <row r="11" spans="1:5" x14ac:dyDescent="0.25">
      <c r="A11" s="3" t="s">
        <v>25</v>
      </c>
      <c r="B11" s="4" t="s">
        <v>26</v>
      </c>
      <c r="C11" s="5">
        <v>1</v>
      </c>
      <c r="D11" s="3" t="s">
        <v>27</v>
      </c>
      <c r="E11" s="5">
        <f t="shared" si="0"/>
        <v>4</v>
      </c>
    </row>
    <row r="12" spans="1:5" x14ac:dyDescent="0.25">
      <c r="A12" s="3" t="s">
        <v>28</v>
      </c>
      <c r="B12" s="4" t="s">
        <v>29</v>
      </c>
      <c r="C12" s="5">
        <v>1</v>
      </c>
      <c r="D12" s="3" t="s">
        <v>30</v>
      </c>
      <c r="E12" s="5">
        <f t="shared" si="0"/>
        <v>4</v>
      </c>
    </row>
    <row r="13" spans="1:5" x14ac:dyDescent="0.25">
      <c r="A13" s="3" t="s">
        <v>31</v>
      </c>
      <c r="B13" s="4" t="s">
        <v>32</v>
      </c>
      <c r="C13" s="5">
        <v>1</v>
      </c>
      <c r="D13" s="3" t="s">
        <v>33</v>
      </c>
      <c r="E13" s="5">
        <f t="shared" si="0"/>
        <v>4</v>
      </c>
    </row>
    <row r="14" spans="1:5" x14ac:dyDescent="0.25">
      <c r="A14" s="3" t="s">
        <v>34</v>
      </c>
      <c r="B14" s="4" t="s">
        <v>35</v>
      </c>
      <c r="C14" s="5">
        <v>1</v>
      </c>
      <c r="D14" s="3" t="s">
        <v>36</v>
      </c>
      <c r="E14" s="5">
        <f t="shared" si="0"/>
        <v>4</v>
      </c>
    </row>
    <row r="15" spans="1:5" x14ac:dyDescent="0.25">
      <c r="A15" s="3" t="s">
        <v>37</v>
      </c>
      <c r="B15" s="4" t="s">
        <v>38</v>
      </c>
      <c r="C15" s="5">
        <v>1</v>
      </c>
      <c r="D15" s="3" t="s">
        <v>39</v>
      </c>
      <c r="E15" s="5">
        <f t="shared" si="0"/>
        <v>4</v>
      </c>
    </row>
    <row r="16" spans="1:5" x14ac:dyDescent="0.25">
      <c r="A16" s="3" t="s">
        <v>40</v>
      </c>
      <c r="B16" s="4" t="s">
        <v>41</v>
      </c>
      <c r="C16" s="5">
        <v>1</v>
      </c>
      <c r="D16" s="3" t="s">
        <v>42</v>
      </c>
      <c r="E16" s="5">
        <f t="shared" si="0"/>
        <v>4</v>
      </c>
    </row>
    <row r="17" spans="1:5" x14ac:dyDescent="0.25">
      <c r="A17" s="3" t="s">
        <v>43</v>
      </c>
      <c r="B17" s="4" t="s">
        <v>44</v>
      </c>
      <c r="C17" s="5">
        <v>2</v>
      </c>
      <c r="D17" s="3" t="s">
        <v>45</v>
      </c>
      <c r="E17" s="5">
        <f t="shared" si="0"/>
        <v>8</v>
      </c>
    </row>
    <row r="18" spans="1:5" x14ac:dyDescent="0.25">
      <c r="A18" s="3" t="s">
        <v>58</v>
      </c>
      <c r="B18" s="4" t="s">
        <v>57</v>
      </c>
      <c r="C18" s="5">
        <v>4</v>
      </c>
      <c r="D18" s="3" t="s">
        <v>49</v>
      </c>
      <c r="E18" s="5">
        <f t="shared" si="0"/>
        <v>16</v>
      </c>
    </row>
    <row r="21" spans="1:5" x14ac:dyDescent="0.25">
      <c r="A21" s="3" t="s">
        <v>55</v>
      </c>
      <c r="B21" s="4" t="s">
        <v>53</v>
      </c>
      <c r="C21" s="5">
        <v>10</v>
      </c>
      <c r="D21" s="3" t="s">
        <v>48</v>
      </c>
      <c r="E21" s="5">
        <f t="shared" si="0"/>
        <v>40</v>
      </c>
    </row>
    <row r="22" spans="1:5" x14ac:dyDescent="0.25">
      <c r="A22" s="3" t="s">
        <v>58</v>
      </c>
      <c r="B22" s="4" t="s">
        <v>56</v>
      </c>
      <c r="C22" s="5">
        <v>4</v>
      </c>
      <c r="D22" s="3" t="s">
        <v>50</v>
      </c>
      <c r="E22" s="5">
        <f t="shared" si="0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 Simulator 24V for Aaron 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German</cp:lastModifiedBy>
  <dcterms:created xsi:type="dcterms:W3CDTF">2025-09-24T20:39:21Z</dcterms:created>
  <dcterms:modified xsi:type="dcterms:W3CDTF">2025-12-29T18:46:35Z</dcterms:modified>
</cp:coreProperties>
</file>